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s\basics\b06\"/>
    </mc:Choice>
  </mc:AlternateContent>
  <xr:revisionPtr revIDLastSave="0" documentId="13_ncr:9_{0BEAE694-57B3-46E5-9496-2C526CA658C6}" xr6:coauthVersionLast="47" xr6:coauthVersionMax="47" xr10:uidLastSave="{00000000-0000-0000-0000-000000000000}"/>
  <bookViews>
    <workbookView xWindow="-108" yWindow="-108" windowWidth="23256" windowHeight="12456" xr2:uid="{77F7EA2E-738E-4616-A439-92E44FF89A1D}"/>
  </bookViews>
  <sheets>
    <sheet name="practice-orders" sheetId="1" r:id="rId1"/>
  </sheets>
  <calcPr calcId="0"/>
</workbook>
</file>

<file path=xl/calcChain.xml><?xml version="1.0" encoding="utf-8"?>
<calcChain xmlns="http://schemas.openxmlformats.org/spreadsheetml/2006/main">
  <c r="M3" i="1" l="1"/>
  <c r="M2" i="1"/>
  <c r="I13" i="1"/>
  <c r="I11" i="1"/>
  <c r="I10" i="1"/>
  <c r="I12" i="1" s="1"/>
  <c r="I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I8" i="1"/>
  <c r="I7" i="1"/>
  <c r="I6" i="1"/>
  <c r="I5" i="1"/>
  <c r="I4" i="1"/>
  <c r="I3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<sst xmlns="http://schemas.openxmlformats.org/spreadsheetml/2006/main" count="70" uniqueCount="47">
  <si>
    <t xml:space="preserve">   order_id</t>
  </si>
  <si>
    <t>status</t>
  </si>
  <si>
    <t>items</t>
  </si>
  <si>
    <t>value</t>
  </si>
  <si>
    <t xml:space="preserve">   A01</t>
  </si>
  <si>
    <t>delivered</t>
  </si>
  <si>
    <t xml:space="preserve">   A02</t>
  </si>
  <si>
    <t xml:space="preserve">   A03</t>
  </si>
  <si>
    <t>shipped</t>
  </si>
  <si>
    <t xml:space="preserve">   A04</t>
  </si>
  <si>
    <t xml:space="preserve">   A05</t>
  </si>
  <si>
    <t>canceled</t>
  </si>
  <si>
    <t xml:space="preserve">   A06</t>
  </si>
  <si>
    <t xml:space="preserve">   A07</t>
  </si>
  <si>
    <t xml:space="preserve">   A08</t>
  </si>
  <si>
    <t>unavailable</t>
  </si>
  <si>
    <t xml:space="preserve">   A09</t>
  </si>
  <si>
    <t xml:space="preserve">   A10</t>
  </si>
  <si>
    <t xml:space="preserve">   A11</t>
  </si>
  <si>
    <t xml:space="preserve">   A12</t>
  </si>
  <si>
    <t xml:space="preserve">   A13</t>
  </si>
  <si>
    <t xml:space="preserve">   A14</t>
  </si>
  <si>
    <t xml:space="preserve">   A15</t>
  </si>
  <si>
    <t xml:space="preserve">   A16</t>
  </si>
  <si>
    <t xml:space="preserve">   A17</t>
  </si>
  <si>
    <t xml:space="preserve">   A18</t>
  </si>
  <si>
    <t xml:space="preserve">   A19</t>
  </si>
  <si>
    <t xml:space="preserve">   A20</t>
  </si>
  <si>
    <t>fee</t>
  </si>
  <si>
    <t>fee rate</t>
  </si>
  <si>
    <t>total value</t>
  </si>
  <si>
    <t>average value</t>
  </si>
  <si>
    <t>median value</t>
  </si>
  <si>
    <t>orders</t>
  </si>
  <si>
    <t>delivered orders</t>
  </si>
  <si>
    <t>delivered value</t>
  </si>
  <si>
    <t>delivered average</t>
  </si>
  <si>
    <t>size</t>
  </si>
  <si>
    <t>multi orders</t>
  </si>
  <si>
    <t>avg delivered</t>
  </si>
  <si>
    <t>avg canceled</t>
  </si>
  <si>
    <t>avg of avgs</t>
  </si>
  <si>
    <t>true average</t>
  </si>
  <si>
    <t>group</t>
  </si>
  <si>
    <t>completed</t>
  </si>
  <si>
    <t>open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</si>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</sst>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3ECE-A5CA-45DE-9532-C46C53655C28}">
  <dimension ref="A1:M21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5" max="5" width="11.6640625" style="1" customWidth="1"/>
    <col min="6" max="6" width="13" customWidth="1"/>
    <col min="8" max="8" width="19.33203125" customWidth="1"/>
    <col min="9" max="9" width="15.33203125" customWidth="1"/>
    <col min="11" max="11" width="10.6640625" customWidth="1"/>
    <col min="12" max="12" width="10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28</v>
      </c>
      <c r="F1" t="s">
        <v>37</v>
      </c>
      <c r="G1" t="s">
        <v>29</v>
      </c>
      <c r="K1" t="s">
        <v>1</v>
      </c>
      <c r="L1" t="s">
        <v>43</v>
      </c>
      <c r="M1" t="s">
        <v>43</v>
      </c>
    </row>
    <row r="2" spans="1:13" x14ac:dyDescent="0.3">
      <c r="A2" t="s">
        <v>4</v>
      </c>
      <c r="B2" t="s">
        <v>5</v>
      </c>
      <c r="C2">
        <v>1</v>
      </c>
      <c r="D2">
        <v>129.9</v>
      </c>
      <c r="E2" s="1">
        <f>D2*$G$2</f>
        <v>64.95</v>
      </c>
      <c r="F2" t="str">
        <f>IF(C2&gt;1,"multi","single")</f>
        <v>single</v>
      </c>
      <c r="G2">
        <v>0.5</v>
      </c>
      <c r="H2" t="s">
        <v>30</v>
      </c>
      <c r="I2">
        <f>SUM(D2:D21)</f>
        <v>2026.5000000000005</v>
      </c>
      <c r="K2" t="s">
        <v>5</v>
      </c>
      <c r="L2" t="s">
        <v>44</v>
      </c>
      <c r="M2" t="e">
        <f ca="1">XLOOKUP(B2,$K$2:$K$5,$L$2:$L$5,"NOT FOUND")</f>
        <v>#NAME?</v>
      </c>
    </row>
    <row r="3" spans="1:13" x14ac:dyDescent="0.3">
      <c r="A3" t="s">
        <v>6</v>
      </c>
      <c r="B3" t="s">
        <v>5</v>
      </c>
      <c r="C3">
        <v>2</v>
      </c>
      <c r="D3">
        <v>54.8</v>
      </c>
      <c r="E3" s="1">
        <f>D3*G$2</f>
        <v>27.4</v>
      </c>
      <c r="F3" t="str">
        <f t="shared" ref="F3:F21" si="0">IF(C3&gt;1,"multi","single")</f>
        <v>multi</v>
      </c>
      <c r="H3" t="s">
        <v>31</v>
      </c>
      <c r="I3">
        <f>AVERAGE(D2:D21)</f>
        <v>101.32500000000002</v>
      </c>
      <c r="K3" t="s">
        <v>8</v>
      </c>
      <c r="L3" t="s">
        <v>45</v>
      </c>
      <c r="M3" t="str">
        <f>IFERROR(VLOOKUP(B2,K$2:L$5,2,FALSE),"NOT FOUND")</f>
        <v>completed</v>
      </c>
    </row>
    <row r="4" spans="1:13" x14ac:dyDescent="0.3">
      <c r="A4" t="s">
        <v>7</v>
      </c>
      <c r="B4" t="s">
        <v>8</v>
      </c>
      <c r="C4">
        <v>1</v>
      </c>
      <c r="D4">
        <v>39.9</v>
      </c>
      <c r="E4" s="1">
        <f t="shared" ref="E3:E21" si="1">D4*$G$2</f>
        <v>19.95</v>
      </c>
      <c r="F4" t="str">
        <f t="shared" si="0"/>
        <v>single</v>
      </c>
      <c r="H4" t="s">
        <v>32</v>
      </c>
      <c r="I4">
        <f>MEDIAN(D2:D21)</f>
        <v>69.900000000000006</v>
      </c>
      <c r="K4" t="s">
        <v>11</v>
      </c>
      <c r="L4" t="s">
        <v>46</v>
      </c>
    </row>
    <row r="5" spans="1:13" x14ac:dyDescent="0.3">
      <c r="A5" t="s">
        <v>9</v>
      </c>
      <c r="B5" t="s">
        <v>5</v>
      </c>
      <c r="C5">
        <v>3</v>
      </c>
      <c r="D5">
        <v>210.1</v>
      </c>
      <c r="E5" s="1">
        <f t="shared" si="1"/>
        <v>105.05</v>
      </c>
      <c r="F5" t="str">
        <f t="shared" si="0"/>
        <v>multi</v>
      </c>
      <c r="H5" t="s">
        <v>33</v>
      </c>
      <c r="I5">
        <f>COUNT(D2:D21)</f>
        <v>20</v>
      </c>
      <c r="K5" t="s">
        <v>15</v>
      </c>
      <c r="L5" t="s">
        <v>46</v>
      </c>
    </row>
    <row r="6" spans="1:13" x14ac:dyDescent="0.3">
      <c r="A6" t="s">
        <v>10</v>
      </c>
      <c r="B6" t="s">
        <v>11</v>
      </c>
      <c r="C6">
        <v>4</v>
      </c>
      <c r="D6">
        <v>349</v>
      </c>
      <c r="E6" s="1">
        <f t="shared" si="1"/>
        <v>174.5</v>
      </c>
      <c r="F6" t="str">
        <f t="shared" si="0"/>
        <v>multi</v>
      </c>
      <c r="H6" t="s">
        <v>34</v>
      </c>
      <c r="I6">
        <f>COUNTIF(B2:B21,"delivered")</f>
        <v>13</v>
      </c>
    </row>
    <row r="7" spans="1:13" x14ac:dyDescent="0.3">
      <c r="A7" t="s">
        <v>12</v>
      </c>
      <c r="B7" t="s">
        <v>5</v>
      </c>
      <c r="C7">
        <v>1</v>
      </c>
      <c r="D7">
        <v>18.899999999999999</v>
      </c>
      <c r="E7" s="1">
        <f t="shared" si="1"/>
        <v>9.4499999999999993</v>
      </c>
      <c r="F7" t="str">
        <f t="shared" si="0"/>
        <v>single</v>
      </c>
      <c r="H7" t="s">
        <v>35</v>
      </c>
      <c r="I7">
        <f>SUMIF(B2:B21,"delivered",D2:D21)</f>
        <v>1249.7</v>
      </c>
    </row>
    <row r="8" spans="1:13" x14ac:dyDescent="0.3">
      <c r="A8" t="s">
        <v>13</v>
      </c>
      <c r="B8" t="s">
        <v>5</v>
      </c>
      <c r="C8">
        <v>1</v>
      </c>
      <c r="D8">
        <v>74.900000000000006</v>
      </c>
      <c r="E8" s="1">
        <f t="shared" si="1"/>
        <v>37.450000000000003</v>
      </c>
      <c r="F8" t="str">
        <f t="shared" si="0"/>
        <v>single</v>
      </c>
      <c r="H8" t="s">
        <v>36</v>
      </c>
      <c r="I8">
        <f>AVERAGEIF(B2:B21,"delivered",D2:D21)</f>
        <v>96.130769230769232</v>
      </c>
    </row>
    <row r="9" spans="1:13" x14ac:dyDescent="0.3">
      <c r="A9" t="s">
        <v>14</v>
      </c>
      <c r="B9" t="s">
        <v>15</v>
      </c>
      <c r="C9">
        <v>2</v>
      </c>
      <c r="D9">
        <v>89.8</v>
      </c>
      <c r="E9" s="1">
        <f t="shared" si="1"/>
        <v>44.9</v>
      </c>
      <c r="F9" t="str">
        <f t="shared" si="0"/>
        <v>multi</v>
      </c>
      <c r="H9" t="s">
        <v>38</v>
      </c>
      <c r="I9">
        <f>COUNTIF(F2:F21, "multi")</f>
        <v>9</v>
      </c>
    </row>
    <row r="10" spans="1:13" x14ac:dyDescent="0.3">
      <c r="A10" t="s">
        <v>16</v>
      </c>
      <c r="B10" t="s">
        <v>5</v>
      </c>
      <c r="C10">
        <v>2</v>
      </c>
      <c r="D10">
        <v>119.8</v>
      </c>
      <c r="E10" s="1">
        <f t="shared" si="1"/>
        <v>59.9</v>
      </c>
      <c r="F10" t="str">
        <f t="shared" si="0"/>
        <v>multi</v>
      </c>
      <c r="H10" t="s">
        <v>39</v>
      </c>
      <c r="I10">
        <f>AVERAGEIF(B2:B21, "delivered", D2:D21)</f>
        <v>96.130769230769232</v>
      </c>
    </row>
    <row r="11" spans="1:13" x14ac:dyDescent="0.3">
      <c r="A11" t="s">
        <v>17</v>
      </c>
      <c r="B11" t="s">
        <v>5</v>
      </c>
      <c r="C11">
        <v>1</v>
      </c>
      <c r="D11">
        <v>23.9</v>
      </c>
      <c r="E11" s="1">
        <f t="shared" si="1"/>
        <v>11.95</v>
      </c>
      <c r="F11" t="str">
        <f t="shared" si="0"/>
        <v>single</v>
      </c>
      <c r="H11" t="s">
        <v>40</v>
      </c>
      <c r="I11">
        <f>AVERAGEIF(B2:B21, "canceled", D2:D21)</f>
        <v>187.45</v>
      </c>
    </row>
    <row r="12" spans="1:13" x14ac:dyDescent="0.3">
      <c r="A12" t="s">
        <v>18</v>
      </c>
      <c r="B12" t="s">
        <v>8</v>
      </c>
      <c r="C12">
        <v>1</v>
      </c>
      <c r="D12">
        <v>64.900000000000006</v>
      </c>
      <c r="E12" s="1">
        <f t="shared" si="1"/>
        <v>32.450000000000003</v>
      </c>
      <c r="F12" t="str">
        <f t="shared" si="0"/>
        <v>single</v>
      </c>
      <c r="H12" t="s">
        <v>41</v>
      </c>
      <c r="I12">
        <f>AVERAGE(I10:I11)</f>
        <v>141.7903846153846</v>
      </c>
    </row>
    <row r="13" spans="1:13" x14ac:dyDescent="0.3">
      <c r="A13" t="s">
        <v>19</v>
      </c>
      <c r="B13" t="s">
        <v>5</v>
      </c>
      <c r="C13">
        <v>5</v>
      </c>
      <c r="D13">
        <v>289.5</v>
      </c>
      <c r="E13" s="1">
        <f t="shared" si="1"/>
        <v>144.75</v>
      </c>
      <c r="F13" t="str">
        <f t="shared" si="0"/>
        <v>multi</v>
      </c>
      <c r="H13" t="s">
        <v>42</v>
      </c>
      <c r="I13">
        <f>SUMIF(B2:B21, "&lt;&gt;shipped", D2:D21)/COUNTIF(B2:B21, "&lt;&gt;shipped")</f>
        <v>103.78235294117648</v>
      </c>
    </row>
    <row r="14" spans="1:13" x14ac:dyDescent="0.3">
      <c r="A14" t="s">
        <v>20</v>
      </c>
      <c r="B14" t="s">
        <v>5</v>
      </c>
      <c r="C14">
        <v>1</v>
      </c>
      <c r="D14">
        <v>61.3</v>
      </c>
      <c r="E14" s="1">
        <f t="shared" si="1"/>
        <v>30.65</v>
      </c>
      <c r="F14" t="str">
        <f t="shared" si="0"/>
        <v>single</v>
      </c>
    </row>
    <row r="15" spans="1:13" x14ac:dyDescent="0.3">
      <c r="A15" t="s">
        <v>21</v>
      </c>
      <c r="B15" t="s">
        <v>5</v>
      </c>
      <c r="C15">
        <v>1</v>
      </c>
      <c r="D15">
        <v>45</v>
      </c>
      <c r="E15" s="1">
        <f t="shared" si="1"/>
        <v>22.5</v>
      </c>
      <c r="F15" t="str">
        <f t="shared" si="0"/>
        <v>single</v>
      </c>
    </row>
    <row r="16" spans="1:13" x14ac:dyDescent="0.3">
      <c r="A16" t="s">
        <v>22</v>
      </c>
      <c r="B16" t="s">
        <v>11</v>
      </c>
      <c r="C16">
        <v>1</v>
      </c>
      <c r="D16">
        <v>25.9</v>
      </c>
      <c r="E16" s="1">
        <f t="shared" si="1"/>
        <v>12.95</v>
      </c>
      <c r="F16" t="str">
        <f t="shared" si="0"/>
        <v>single</v>
      </c>
    </row>
    <row r="17" spans="1:6" x14ac:dyDescent="0.3">
      <c r="A17" t="s">
        <v>23</v>
      </c>
      <c r="B17" t="s">
        <v>5</v>
      </c>
      <c r="C17">
        <v>2</v>
      </c>
      <c r="D17">
        <v>99.9</v>
      </c>
      <c r="E17" s="1">
        <f t="shared" si="1"/>
        <v>49.95</v>
      </c>
      <c r="F17" t="str">
        <f t="shared" si="0"/>
        <v>multi</v>
      </c>
    </row>
    <row r="18" spans="1:6" x14ac:dyDescent="0.3">
      <c r="A18" t="s">
        <v>24</v>
      </c>
      <c r="B18" t="s">
        <v>8</v>
      </c>
      <c r="C18">
        <v>3</v>
      </c>
      <c r="D18">
        <v>157.4</v>
      </c>
      <c r="E18" s="1">
        <f t="shared" si="1"/>
        <v>78.7</v>
      </c>
      <c r="F18" t="str">
        <f t="shared" si="0"/>
        <v>multi</v>
      </c>
    </row>
    <row r="19" spans="1:6" x14ac:dyDescent="0.3">
      <c r="A19" t="s">
        <v>25</v>
      </c>
      <c r="B19" t="s">
        <v>5</v>
      </c>
      <c r="C19">
        <v>1</v>
      </c>
      <c r="D19">
        <v>32.9</v>
      </c>
      <c r="E19" s="1">
        <f t="shared" si="1"/>
        <v>16.45</v>
      </c>
      <c r="F19" t="str">
        <f t="shared" si="0"/>
        <v>single</v>
      </c>
    </row>
    <row r="20" spans="1:6" x14ac:dyDescent="0.3">
      <c r="A20" t="s">
        <v>26</v>
      </c>
      <c r="B20" t="s">
        <v>15</v>
      </c>
      <c r="C20">
        <v>1</v>
      </c>
      <c r="D20">
        <v>49.9</v>
      </c>
      <c r="E20" s="1">
        <f t="shared" si="1"/>
        <v>24.95</v>
      </c>
      <c r="F20" t="str">
        <f t="shared" si="0"/>
        <v>single</v>
      </c>
    </row>
    <row r="21" spans="1:6" x14ac:dyDescent="0.3">
      <c r="A21" t="s">
        <v>27</v>
      </c>
      <c r="B21" t="s">
        <v>5</v>
      </c>
      <c r="C21">
        <v>2</v>
      </c>
      <c r="D21">
        <v>88.8</v>
      </c>
      <c r="E21" s="1">
        <f t="shared" si="1"/>
        <v>44.4</v>
      </c>
      <c r="F21" t="str">
        <f t="shared" si="0"/>
        <v>multi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practice-orders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Anas Wajeeh</cp:lastModifiedBy>
  <dcterms:created xsi:type="dcterms:W3CDTF">2026-10-17T20:47:21Z</dcterms:created>
  <dcterms:modified xsi:type="dcterms:W3CDTF">2026-10-17T21:37:10Z</dcterms:modified>
</cp:coreProperties>
</file>